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orah\Documents\DataAnalytics\week-01\"/>
    </mc:Choice>
  </mc:AlternateContent>
  <xr:revisionPtr revIDLastSave="0" documentId="8_{F912A131-0028-4304-8016-BC3F48F1B6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vort Tables" sheetId="2" r:id="rId1"/>
    <sheet name="Survey Responses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D12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<sst xmlns="http://schemas.openxmlformats.org/spreadsheetml/2006/main" count="90" uniqueCount="54">
  <si>
    <t>ID</t>
  </si>
  <si>
    <t>Start time</t>
  </si>
  <si>
    <t>Completion time</t>
  </si>
  <si>
    <t>Email</t>
  </si>
  <si>
    <t>Name</t>
  </si>
  <si>
    <t>Last modified time</t>
  </si>
  <si>
    <t>What type of drinks do you usually order?</t>
  </si>
  <si>
    <t>Temperature ?</t>
  </si>
  <si>
    <t>How often do you drink coffee?</t>
  </si>
  <si>
    <t>What influences your drink choice?</t>
  </si>
  <si>
    <t>How satisfied are you with current coffee options?</t>
  </si>
  <si>
    <t>Enter your email to win more points and receive updates.</t>
  </si>
  <si>
    <t>vordonez@my.yearupunited.org</t>
  </si>
  <si>
    <t>victoria ordonez</t>
  </si>
  <si>
    <t>Latte</t>
  </si>
  <si>
    <t>Cold</t>
  </si>
  <si>
    <t>Weekly</t>
  </si>
  <si>
    <t>Price</t>
  </si>
  <si>
    <t>Very satisfied</t>
  </si>
  <si>
    <t>cpalacios@my.yearupunited.org</t>
  </si>
  <si>
    <t>charles palacios</t>
  </si>
  <si>
    <t>Frappe</t>
  </si>
  <si>
    <t>Flavor</t>
  </si>
  <si>
    <t>achanthadara@my.yearupunited.org</t>
  </si>
  <si>
    <t>alexus chanthadara</t>
  </si>
  <si>
    <t>Other (Specify)</t>
  </si>
  <si>
    <t>Taste</t>
  </si>
  <si>
    <t>BHambleton@YearUp.org</t>
  </si>
  <si>
    <t>Bess Hambleton</t>
  </si>
  <si>
    <t>Hot</t>
  </si>
  <si>
    <t>dberhane@my.yearupunited.org</t>
  </si>
  <si>
    <t>danait berhane</t>
  </si>
  <si>
    <t>Cappucino</t>
  </si>
  <si>
    <t>Few times a week</t>
  </si>
  <si>
    <t>Somewhat dissatisfied</t>
  </si>
  <si>
    <t>callen@my.yearupunited.org</t>
  </si>
  <si>
    <t>corey allen</t>
  </si>
  <si>
    <t>I dont drink coffee</t>
  </si>
  <si>
    <t>Both</t>
  </si>
  <si>
    <t>Never</t>
  </si>
  <si>
    <t>amartinez3@my.yearupunited.org</t>
  </si>
  <si>
    <t>alondra martinez</t>
  </si>
  <si>
    <t>tzergaw@my.yearupunited.org</t>
  </si>
  <si>
    <t>tihitina zergaw</t>
  </si>
  <si>
    <t>Somewhat satisfied</t>
  </si>
  <si>
    <t>smelgara@my.yearupunited.org</t>
  </si>
  <si>
    <t>smaya melgara</t>
  </si>
  <si>
    <t>bcollins@my.yearupunited.org</t>
  </si>
  <si>
    <t>blake collins</t>
  </si>
  <si>
    <t>Very dissatisfied</t>
  </si>
  <si>
    <t>Time to Complete</t>
  </si>
  <si>
    <t>Row Labels</t>
  </si>
  <si>
    <t>Grand Total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</si>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</sst>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5" fontId="0" fillId="2" borderId="1" xfId="0" applyNumberFormat="1" applyFill="1" applyBorder="1"/>
    <xf numFmtId="165" fontId="0" fillId="0" borderId="1" xfId="0" applyNumberFormat="1" applyBorder="1"/>
    <xf numFmtId="0" fontId="1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numFmt numFmtId="165" formatCode="mm/dd/yyyy\ hh:mm:ss"/>
    </dxf>
    <dxf>
      <numFmt numFmtId="165" formatCode="mm/dd/yyyy\ hh:mm:ss"/>
    </dxf>
    <dxf>
      <numFmt numFmtId="165" formatCode="mm/dd/yyyy\ h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m/dd/yyyy\ hh:mm:ss"/>
    </dxf>
    <dxf>
      <numFmt numFmtId="165" formatCode="mm/dd/yyyy\ hh:mm:ss"/>
    </dxf>
    <dxf>
      <numFmt numFmtId="165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[Ex_5B_Survey_Responses.xlsx]Pivort Tables!PivotTable1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'Pivort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A3-4BC6-BD9C-E52873C7A1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90A3-4BC6-BD9C-E52873C7A1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'Pivort Tables'!$A$4:$A$9</c:f>
              <c:strCache>
                <c:ptCount val="5"/>
                <c:pt idx="0">
                  <c:v>Cappucino</c:v>
                </c:pt>
                <c:pt idx="1">
                  <c:v>Frappe</c:v>
                </c:pt>
                <c:pt idx="2">
                  <c:v>I dont drink coffee</c:v>
                </c:pt>
                <c:pt idx="3">
                  <c:v>Latte</c:v>
                </c:pt>
                <c:pt idx="4">
                  <c:v>Other (Specify)</c:v>
                </c:pt>
              </c:strCache>
            </c:strRef>
          </c:cat>
          <c:val>
            <c:numRef>
              <c:f>'Pivort Tables'!$B$4:$B$9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3-4BC6-BD9C-E52873C7A1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[Ex_5B_Survey_Responses.xlsx]Pivort Tables!PivotTable1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99759405074366E-2"/>
          <c:y val="0.37800488480606592"/>
          <c:w val="0.78015048118985131"/>
          <c:h val="0.486887212015164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'Pivort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'Pivort Tables'!$A$4:$A$9</c:f>
              <c:strCache>
                <c:ptCount val="5"/>
                <c:pt idx="0">
                  <c:v>Cappucino</c:v>
                </c:pt>
                <c:pt idx="1">
                  <c:v>Frappe</c:v>
                </c:pt>
                <c:pt idx="2">
                  <c:v>I dont drink coffee</c:v>
                </c:pt>
                <c:pt idx="3">
                  <c:v>Latte</c:v>
                </c:pt>
                <c:pt idx="4">
                  <c:v>Other (Specify)</c:v>
                </c:pt>
              </c:strCache>
            </c:strRef>
          </c:cat>
          <c:val>
            <c:numRef>
              <c:f>'Pivort Tables'!$B$4:$B$9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2-4BD3-A6B8-7940CEEF6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623375"/>
        <c:axId val="765620015"/>
      </c:barChart>
      <c:catAx>
        <c:axId val="76562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20015"/>
        <c:crosses val="autoZero"/>
        <c:auto val="1"/>
        <c:lblAlgn val="ctr"/>
        <c:lblOffset val="100"/>
        <c:noMultiLvlLbl val="0"/>
      </c:catAx>
      <c:valAx>
        <c:axId val="76562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2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2</xdr:row>
      <xdr:rowOff>114300</xdr:rowOff>
    </xdr:from>
    <xdr:to>
      <xdr:col>5</xdr:col>
      <xdr:colOff>1346200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A2336-E31B-641C-77FB-B99BDE10C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14</xdr:row>
      <xdr:rowOff>133350</xdr:rowOff>
    </xdr:from>
    <xdr:to>
      <xdr:col>3</xdr:col>
      <xdr:colOff>590550</xdr:colOff>
      <xdr:row>29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251D9B-D443-2D4E-9785-0ABCC87A0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ah Mwembe" refreshedDate="46126.231857407409" createdVersion="8" refreshedVersion="8" minRefreshableVersion="3" recordCount="10" xr:uid="{CE3982D1-1473-4785-A9CE-037D649CC4DA}">
  <cacheSource type="worksheet">
    <worksheetSource name="Table1"/>
  </cacheSource>
  <cacheFields count="13">
    <cacheField name="ID" numFmtId="0">
      <sharedItems containsSemiMixedTypes="0" containsString="0" containsNumber="1" containsInteger="1" minValue="1" maxValue="10"/>
    </cacheField>
    <cacheField name="Start time" numFmtId="165">
      <sharedItems containsSemiMixedTypes="0" containsNonDate="0" containsDate="1" containsString="0" minDate="2026-04-09T09:23:01" maxDate="2026-04-10T12:00:44"/>
    </cacheField>
    <cacheField name="Completion time" numFmtId="165">
      <sharedItems containsSemiMixedTypes="0" containsNonDate="0" containsDate="1" containsString="0" minDate="2026-04-09T09:23:27" maxDate="2026-04-10T12:01:35"/>
    </cacheField>
    <cacheField name="Time to Complete" numFmtId="165">
      <sharedItems containsSemiMixedTypes="0" containsNonDate="0" containsDate="1" containsString="0" minDate="1899-12-30T00:00:13" maxDate="1899-12-30T00:02:06"/>
    </cacheField>
    <cacheField name="Email" numFmtId="0">
      <sharedItems count="10">
        <s v="vordonez@my.yearupunited.org"/>
        <s v="cpalacios@my.yearupunited.org"/>
        <s v="achanthadara@my.yearupunited.org"/>
        <s v="BHambleton@YearUp.org"/>
        <s v="dberhane@my.yearupunited.org"/>
        <s v="callen@my.yearupunited.org"/>
        <s v="amartinez3@my.yearupunited.org"/>
        <s v="tzergaw@my.yearupunited.org"/>
        <s v="smelgara@my.yearupunited.org"/>
        <s v="bcollins@my.yearupunited.org"/>
      </sharedItems>
    </cacheField>
    <cacheField name="Name" numFmtId="0">
      <sharedItems/>
    </cacheField>
    <cacheField name="Last modified time" numFmtId="164">
      <sharedItems containsNonDate="0" containsString="0" containsBlank="1"/>
    </cacheField>
    <cacheField name="What type of drinks do you usually order?" numFmtId="0">
      <sharedItems count="5">
        <s v="Latte"/>
        <s v="Frappe"/>
        <s v="Other (Specify)"/>
        <s v="Cappucino"/>
        <s v="I dont drink coffee"/>
      </sharedItems>
    </cacheField>
    <cacheField name="Temperature ?" numFmtId="0">
      <sharedItems/>
    </cacheField>
    <cacheField name="How often do you drink coffee?" numFmtId="0">
      <sharedItems/>
    </cacheField>
    <cacheField name="What influences your drink choice?" numFmtId="0">
      <sharedItems/>
    </cacheField>
    <cacheField name="How satisfied are you with current coffee options?" numFmtId="0">
      <sharedItems/>
    </cacheField>
    <cacheField name="Enter your email to win more points and receive updates.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6-04-09T09:23:01"/>
    <d v="2026-04-09T09:23:27"/>
    <d v="1899-12-30T00:00:26"/>
    <x v="0"/>
    <s v="victoria ordonez"/>
    <m/>
    <x v="0"/>
    <s v="Cold"/>
    <s v="Weekly"/>
    <s v="Price"/>
    <s v="Very satisfied"/>
    <m/>
  </r>
  <r>
    <n v="2"/>
    <d v="2026-04-09T10:01:31"/>
    <d v="2026-04-09T10:01:46"/>
    <d v="1899-12-30T00:00:15"/>
    <x v="1"/>
    <s v="charles palacios"/>
    <m/>
    <x v="1"/>
    <s v="Cold"/>
    <s v="Weekly"/>
    <s v="Flavor"/>
    <s v="Very satisfied"/>
    <m/>
  </r>
  <r>
    <n v="3"/>
    <d v="2026-04-09T10:01:10"/>
    <d v="2026-04-09T10:03:16"/>
    <d v="1899-12-30T00:02:06"/>
    <x v="2"/>
    <s v="alexus chanthadara"/>
    <m/>
    <x v="2"/>
    <s v="Cold"/>
    <s v="Weekly"/>
    <s v="Taste"/>
    <s v="Very satisfied"/>
    <m/>
  </r>
  <r>
    <n v="4"/>
    <d v="2026-04-09T10:26:05"/>
    <d v="2026-04-09T10:27:29"/>
    <d v="1899-12-30T00:01:24"/>
    <x v="3"/>
    <s v="Bess Hambleton"/>
    <m/>
    <x v="2"/>
    <s v="Hot"/>
    <s v="Weekly"/>
    <s v="Flavor"/>
    <s v="Very satisfied"/>
    <m/>
  </r>
  <r>
    <n v="5"/>
    <d v="2026-04-09T11:49:53"/>
    <d v="2026-04-09T11:50:39"/>
    <d v="1899-12-30T00:00:46"/>
    <x v="4"/>
    <s v="danait berhane"/>
    <m/>
    <x v="3"/>
    <s v="Hot"/>
    <s v="Few times a week"/>
    <s v="Flavor"/>
    <s v="Somewhat dissatisfied"/>
    <m/>
  </r>
  <r>
    <n v="6"/>
    <d v="2026-04-09T13:07:38"/>
    <d v="2026-04-09T13:07:55"/>
    <d v="1899-12-30T00:00:17"/>
    <x v="5"/>
    <s v="corey allen"/>
    <m/>
    <x v="4"/>
    <s v="Both"/>
    <s v="Never"/>
    <s v="Price"/>
    <s v="Somewhat dissatisfied"/>
    <m/>
  </r>
  <r>
    <n v="7"/>
    <d v="2026-04-09T14:46:26"/>
    <d v="2026-04-09T14:46:39"/>
    <d v="1899-12-30T00:00:13"/>
    <x v="6"/>
    <s v="alondra martinez"/>
    <m/>
    <x v="0"/>
    <s v="Hot"/>
    <s v="Weekly"/>
    <s v="Price"/>
    <s v="Very satisfied"/>
    <m/>
  </r>
  <r>
    <n v="8"/>
    <d v="2026-04-09T15:51:30"/>
    <d v="2026-04-09T15:52:38"/>
    <d v="1899-12-30T00:01:08"/>
    <x v="7"/>
    <s v="tihitina zergaw"/>
    <m/>
    <x v="3"/>
    <s v="Both"/>
    <s v="Few times a week"/>
    <s v="Flavor"/>
    <s v="Somewhat satisfied"/>
    <m/>
  </r>
  <r>
    <n v="9"/>
    <d v="2026-04-10T11:06:49"/>
    <d v="2026-04-10T11:07:12"/>
    <d v="1899-12-30T00:00:23"/>
    <x v="8"/>
    <s v="smaya melgara"/>
    <m/>
    <x v="0"/>
    <s v="Cold"/>
    <s v="Weekly"/>
    <s v="Price"/>
    <s v="Somewhat satisfied"/>
    <m/>
  </r>
  <r>
    <n v="10"/>
    <d v="2026-04-10T12:00:44"/>
    <d v="2026-04-10T12:01:35"/>
    <d v="1899-12-30T00:00:51"/>
    <x v="9"/>
    <s v="blake collins"/>
    <m/>
    <x v="4"/>
    <s v="Hot"/>
    <s v="Never"/>
    <s v="Other (Specify)"/>
    <s v="Very dissatisfi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96C23-CCA2-4E75-B875-EC34233F5A2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3">
    <pivotField showAll="0"/>
    <pivotField numFmtId="165" showAll="0"/>
    <pivotField numFmtId="165" showAll="0"/>
    <pivotField numFmtId="165" showAll="0"/>
    <pivotField dataField="1" showAll="0">
      <items count="11">
        <item x="2"/>
        <item x="6"/>
        <item x="9"/>
        <item x="3"/>
        <item x="5"/>
        <item x="1"/>
        <item x="4"/>
        <item x="8"/>
        <item x="7"/>
        <item x="0"/>
        <item t="default"/>
      </items>
    </pivotField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ail" fld="4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2" totalsRowCount="1">
  <autoFilter ref="A1:M11" xr:uid="{00000000-0009-0000-0100-000001000000}"/>
  <tableColumns count="13">
    <tableColumn id="1" xr3:uid="{00000000-0010-0000-0000-000001000000}" name="ID" dataDxfId="15"/>
    <tableColumn id="2" xr3:uid="{00000000-0010-0000-0000-000002000000}" name="Start time" dataDxfId="14" totalsRowDxfId="2"/>
    <tableColumn id="3" xr3:uid="{00000000-0010-0000-0000-000003000000}" name="Completion time" dataDxfId="13" totalsRowDxfId="1"/>
    <tableColumn id="13" xr3:uid="{017655F0-B969-4C2C-860D-E12A440C1629}" name="Time to Complete" totalsRowFunction="custom" dataDxfId="12" totalsRowDxfId="0">
      <calculatedColumnFormula>C2-B2</calculatedColumnFormula>
      <totalsRowFormula>AVERAGE(D2:D11)</totalsRowFormula>
    </tableColumn>
    <tableColumn id="4" xr3:uid="{00000000-0010-0000-0000-000004000000}" name="Email" dataDxfId="11"/>
    <tableColumn id="5" xr3:uid="{00000000-0010-0000-0000-000005000000}" name="Name" dataDxfId="10"/>
    <tableColumn id="6" xr3:uid="{00000000-0010-0000-0000-000006000000}" name="Last modified time" dataDxfId="3"/>
    <tableColumn id="7" xr3:uid="{00000000-0010-0000-0000-000007000000}" name="What type of drinks do you usually order?" dataDxfId="9"/>
    <tableColumn id="8" xr3:uid="{00000000-0010-0000-0000-000008000000}" name="Temperature ?" dataDxfId="8"/>
    <tableColumn id="9" xr3:uid="{00000000-0010-0000-0000-000009000000}" name="How often do you drink coffee?" dataDxfId="7"/>
    <tableColumn id="10" xr3:uid="{00000000-0010-0000-0000-00000A000000}" name="What influences your drink choice?" dataDxfId="6"/>
    <tableColumn id="11" xr3:uid="{00000000-0010-0000-0000-00000B000000}" name="How satisfied are you with current coffee options?" totalsRowFunction="custom" dataDxfId="5">
      <totalsRowFormula>COUNTIF(L2:L11,"Very satisfied")</totalsRowFormula>
    </tableColumn>
    <tableColumn id="12" xr3:uid="{00000000-0010-0000-0000-00000C000000}" name="Enter your email to win more points and receive updates.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D35D-EA91-44BC-9598-CD055EA13682}">
  <dimension ref="A3:B9"/>
  <sheetViews>
    <sheetView tabSelected="1" topLeftCell="A7" workbookViewId="0">
      <selection activeCell="D25" sqref="D25"/>
    </sheetView>
  </sheetViews>
  <sheetFormatPr defaultRowHeight="14.5" x14ac:dyDescent="0.35"/>
  <cols>
    <col min="1" max="1" width="16.1796875" bestFit="1" customWidth="1"/>
    <col min="2" max="2" width="13.1796875" bestFit="1" customWidth="1"/>
    <col min="3" max="3" width="30.1796875" bestFit="1" customWidth="1"/>
    <col min="4" max="4" width="26.90625" bestFit="1" customWidth="1"/>
    <col min="5" max="5" width="22.7265625" bestFit="1" customWidth="1"/>
    <col min="6" max="6" width="25.453125" bestFit="1" customWidth="1"/>
    <col min="7" max="7" width="28.1796875" bestFit="1" customWidth="1"/>
    <col min="8" max="8" width="28.7265625" bestFit="1" customWidth="1"/>
    <col min="9" max="9" width="28.1796875" bestFit="1" customWidth="1"/>
    <col min="10" max="10" width="27.26953125" bestFit="1" customWidth="1"/>
    <col min="11" max="11" width="28.453125" bestFit="1" customWidth="1"/>
    <col min="12" max="12" width="10.7265625" bestFit="1" customWidth="1"/>
    <col min="13" max="13" width="30.54296875" bestFit="1" customWidth="1"/>
    <col min="14" max="14" width="33.6328125" bestFit="1" customWidth="1"/>
    <col min="15" max="15" width="30" bestFit="1" customWidth="1"/>
    <col min="16" max="16" width="33" bestFit="1" customWidth="1"/>
    <col min="17" max="17" width="29.08984375" bestFit="1" customWidth="1"/>
    <col min="18" max="18" width="32.08984375" bestFit="1" customWidth="1"/>
    <col min="19" max="19" width="30.26953125" bestFit="1" customWidth="1"/>
    <col min="20" max="20" width="33.36328125" bestFit="1" customWidth="1"/>
    <col min="21" max="21" width="10.7265625" bestFit="1" customWidth="1"/>
  </cols>
  <sheetData>
    <row r="3" spans="1:2" x14ac:dyDescent="0.35">
      <c r="A3" s="7" t="s">
        <v>51</v>
      </c>
      <c r="B3" t="s">
        <v>53</v>
      </c>
    </row>
    <row r="4" spans="1:2" x14ac:dyDescent="0.35">
      <c r="A4" s="8" t="s">
        <v>32</v>
      </c>
      <c r="B4" s="9">
        <v>2</v>
      </c>
    </row>
    <row r="5" spans="1:2" x14ac:dyDescent="0.35">
      <c r="A5" s="8" t="s">
        <v>21</v>
      </c>
      <c r="B5" s="9">
        <v>1</v>
      </c>
    </row>
    <row r="6" spans="1:2" x14ac:dyDescent="0.35">
      <c r="A6" s="8" t="s">
        <v>37</v>
      </c>
      <c r="B6" s="9">
        <v>2</v>
      </c>
    </row>
    <row r="7" spans="1:2" x14ac:dyDescent="0.35">
      <c r="A7" s="8" t="s">
        <v>14</v>
      </c>
      <c r="B7" s="9">
        <v>3</v>
      </c>
    </row>
    <row r="8" spans="1:2" x14ac:dyDescent="0.35">
      <c r="A8" s="8" t="s">
        <v>25</v>
      </c>
      <c r="B8" s="9">
        <v>2</v>
      </c>
    </row>
    <row r="9" spans="1:2" x14ac:dyDescent="0.35">
      <c r="A9" s="8" t="s">
        <v>52</v>
      </c>
      <c r="B9" s="9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H2" sqref="H2:H11"/>
    </sheetView>
  </sheetViews>
  <sheetFormatPr defaultRowHeight="14.5" x14ac:dyDescent="0.35"/>
  <cols>
    <col min="1" max="3" width="20" bestFit="1" customWidth="1"/>
    <col min="4" max="4" width="20" customWidth="1"/>
    <col min="5" max="13" width="20" bestFit="1" customWidth="1"/>
  </cols>
  <sheetData>
    <row r="1" spans="1:13" x14ac:dyDescent="0.35">
      <c r="A1" t="s">
        <v>0</v>
      </c>
      <c r="B1" s="3" t="s">
        <v>1</v>
      </c>
      <c r="C1" t="s">
        <v>2</v>
      </c>
      <c r="D1" t="s">
        <v>50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</v>
      </c>
      <c r="B2" s="3">
        <v>46121.3909837963</v>
      </c>
      <c r="C2" s="3">
        <v>46121.391284722202</v>
      </c>
      <c r="D2" s="3">
        <f t="shared" ref="D2:D11" si="0">C2-B2</f>
        <v>3.0092590168351308E-4</v>
      </c>
      <c r="E2" t="s">
        <v>12</v>
      </c>
      <c r="F2" t="s">
        <v>13</v>
      </c>
      <c r="G2" s="1"/>
      <c r="I2" t="s">
        <v>15</v>
      </c>
      <c r="J2" t="s">
        <v>16</v>
      </c>
      <c r="K2" t="s">
        <v>17</v>
      </c>
      <c r="L2" t="s">
        <v>18</v>
      </c>
    </row>
    <row r="3" spans="1:13" x14ac:dyDescent="0.35">
      <c r="A3">
        <v>2</v>
      </c>
      <c r="B3" s="3">
        <v>46121.417719907397</v>
      </c>
      <c r="C3" s="3">
        <v>46121.417893518497</v>
      </c>
      <c r="D3" s="3">
        <f t="shared" si="0"/>
        <v>1.736111007630825E-4</v>
      </c>
      <c r="E3" t="s">
        <v>19</v>
      </c>
      <c r="F3" t="s">
        <v>20</v>
      </c>
      <c r="G3" s="1"/>
      <c r="H3" t="s">
        <v>21</v>
      </c>
      <c r="I3" t="s">
        <v>15</v>
      </c>
      <c r="J3" t="s">
        <v>16</v>
      </c>
      <c r="K3" t="s">
        <v>22</v>
      </c>
      <c r="L3" t="s">
        <v>18</v>
      </c>
    </row>
    <row r="4" spans="1:13" x14ac:dyDescent="0.35">
      <c r="A4">
        <v>3</v>
      </c>
      <c r="B4" s="3">
        <v>46121.417476851799</v>
      </c>
      <c r="C4" s="3">
        <v>46121.418935185196</v>
      </c>
      <c r="D4" s="3">
        <f t="shared" si="0"/>
        <v>1.4583333977498114E-3</v>
      </c>
      <c r="E4" t="s">
        <v>23</v>
      </c>
      <c r="F4" t="s">
        <v>24</v>
      </c>
      <c r="G4" s="1"/>
      <c r="H4" t="s">
        <v>25</v>
      </c>
      <c r="I4" t="s">
        <v>15</v>
      </c>
      <c r="J4" t="s">
        <v>16</v>
      </c>
      <c r="K4" t="s">
        <v>26</v>
      </c>
      <c r="L4" t="s">
        <v>18</v>
      </c>
    </row>
    <row r="5" spans="1:13" x14ac:dyDescent="0.35">
      <c r="A5">
        <v>4</v>
      </c>
      <c r="B5" s="3">
        <v>46121.434780092597</v>
      </c>
      <c r="C5" s="3">
        <v>46121.435752314799</v>
      </c>
      <c r="D5" s="3">
        <f t="shared" si="0"/>
        <v>9.7222220210824162E-4</v>
      </c>
      <c r="E5" t="s">
        <v>27</v>
      </c>
      <c r="F5" t="s">
        <v>28</v>
      </c>
      <c r="G5" s="1"/>
      <c r="H5" t="s">
        <v>25</v>
      </c>
      <c r="I5" t="s">
        <v>29</v>
      </c>
      <c r="J5" t="s">
        <v>16</v>
      </c>
      <c r="K5" t="s">
        <v>22</v>
      </c>
      <c r="L5" t="s">
        <v>18</v>
      </c>
    </row>
    <row r="6" spans="1:13" x14ac:dyDescent="0.35">
      <c r="A6">
        <v>5</v>
      </c>
      <c r="B6" s="3">
        <v>46121.492974537003</v>
      </c>
      <c r="C6" s="3">
        <v>46121.493506944404</v>
      </c>
      <c r="D6" s="3">
        <f t="shared" si="0"/>
        <v>5.3240740089677274E-4</v>
      </c>
      <c r="E6" t="s">
        <v>30</v>
      </c>
      <c r="F6" t="s">
        <v>31</v>
      </c>
      <c r="G6" s="1"/>
      <c r="H6" t="s">
        <v>32</v>
      </c>
      <c r="I6" t="s">
        <v>29</v>
      </c>
      <c r="J6" t="s">
        <v>33</v>
      </c>
      <c r="K6" t="s">
        <v>22</v>
      </c>
      <c r="L6" t="s">
        <v>34</v>
      </c>
    </row>
    <row r="7" spans="1:13" x14ac:dyDescent="0.35">
      <c r="A7">
        <v>6</v>
      </c>
      <c r="B7" s="3">
        <v>46121.5469675926</v>
      </c>
      <c r="C7" s="3">
        <v>46121.547164351803</v>
      </c>
      <c r="D7" s="3">
        <f t="shared" si="0"/>
        <v>1.9675920339068398E-4</v>
      </c>
      <c r="E7" t="s">
        <v>35</v>
      </c>
      <c r="F7" t="s">
        <v>36</v>
      </c>
      <c r="G7" s="1"/>
      <c r="H7" t="s">
        <v>37</v>
      </c>
      <c r="I7" t="s">
        <v>38</v>
      </c>
      <c r="J7" t="s">
        <v>39</v>
      </c>
      <c r="K7" t="s">
        <v>17</v>
      </c>
      <c r="L7" t="s">
        <v>34</v>
      </c>
    </row>
    <row r="8" spans="1:13" x14ac:dyDescent="0.35">
      <c r="A8">
        <v>7</v>
      </c>
      <c r="B8" s="3">
        <v>46121.615578703699</v>
      </c>
      <c r="C8" s="3">
        <v>46121.615729166697</v>
      </c>
      <c r="D8" s="3">
        <f t="shared" si="0"/>
        <v>1.5046299813548103E-4</v>
      </c>
      <c r="E8" t="s">
        <v>40</v>
      </c>
      <c r="F8" t="s">
        <v>41</v>
      </c>
      <c r="G8" s="1"/>
      <c r="H8" t="s">
        <v>14</v>
      </c>
      <c r="I8" t="s">
        <v>29</v>
      </c>
      <c r="J8" t="s">
        <v>16</v>
      </c>
      <c r="K8" t="s">
        <v>17</v>
      </c>
      <c r="L8" t="s">
        <v>18</v>
      </c>
    </row>
    <row r="9" spans="1:13" x14ac:dyDescent="0.35">
      <c r="A9">
        <v>8</v>
      </c>
      <c r="B9" s="3">
        <v>46121.660763888904</v>
      </c>
      <c r="C9" s="3">
        <v>46121.661550925899</v>
      </c>
      <c r="D9" s="3">
        <f t="shared" si="0"/>
        <v>7.8703699546167627E-4</v>
      </c>
      <c r="E9" t="s">
        <v>42</v>
      </c>
      <c r="F9" t="s">
        <v>43</v>
      </c>
      <c r="G9" s="1"/>
      <c r="H9" t="s">
        <v>32</v>
      </c>
      <c r="I9" t="s">
        <v>38</v>
      </c>
      <c r="J9" t="s">
        <v>33</v>
      </c>
      <c r="K9" t="s">
        <v>22</v>
      </c>
      <c r="L9" t="s">
        <v>44</v>
      </c>
    </row>
    <row r="10" spans="1:13" x14ac:dyDescent="0.35">
      <c r="A10">
        <v>9</v>
      </c>
      <c r="B10" s="3">
        <v>46122.463067129604</v>
      </c>
      <c r="C10" s="3">
        <v>46122.463333333297</v>
      </c>
      <c r="D10" s="3">
        <f t="shared" si="0"/>
        <v>2.6620369317242876E-4</v>
      </c>
      <c r="E10" t="s">
        <v>45</v>
      </c>
      <c r="F10" t="s">
        <v>46</v>
      </c>
      <c r="G10" s="1"/>
      <c r="H10" t="s">
        <v>14</v>
      </c>
      <c r="I10" t="s">
        <v>15</v>
      </c>
      <c r="J10" t="s">
        <v>16</v>
      </c>
      <c r="K10" t="s">
        <v>17</v>
      </c>
      <c r="L10" t="s">
        <v>44</v>
      </c>
    </row>
    <row r="11" spans="1:13" x14ac:dyDescent="0.35">
      <c r="A11">
        <v>10</v>
      </c>
      <c r="B11" s="3">
        <v>46122.500509259298</v>
      </c>
      <c r="C11" s="3">
        <v>46122.501099537003</v>
      </c>
      <c r="D11" s="3">
        <f t="shared" si="0"/>
        <v>5.9027770475950092E-4</v>
      </c>
      <c r="E11" t="s">
        <v>47</v>
      </c>
      <c r="F11" t="s">
        <v>48</v>
      </c>
      <c r="G11" s="1"/>
      <c r="H11" t="s">
        <v>37</v>
      </c>
      <c r="I11" t="s">
        <v>29</v>
      </c>
      <c r="J11" t="s">
        <v>39</v>
      </c>
      <c r="K11" t="s">
        <v>25</v>
      </c>
      <c r="L11" t="s">
        <v>49</v>
      </c>
    </row>
    <row r="12" spans="1:13" ht="15" thickBot="1" x14ac:dyDescent="0.4">
      <c r="B12" s="3"/>
      <c r="C12" s="3"/>
      <c r="D12" s="3">
        <f>AVERAGE(D2:D11)</f>
        <v>5.4282405981211925E-4</v>
      </c>
      <c r="L12">
        <f>COUNTIF(L2:L11,"Very satisfied")</f>
        <v>5</v>
      </c>
    </row>
    <row r="13" spans="1:13" ht="15" thickTop="1" x14ac:dyDescent="0.35">
      <c r="D13" s="2"/>
      <c r="H13" s="6"/>
      <c r="L13">
        <f>COUNTIF(L2:L11,"Somewhat satisfied")</f>
        <v>2</v>
      </c>
    </row>
    <row r="14" spans="1:13" x14ac:dyDescent="0.35">
      <c r="L14">
        <f>COUNTIF(L2:L11,"Very dissatisfied")</f>
        <v>1</v>
      </c>
    </row>
    <row r="16" spans="1:13" x14ac:dyDescent="0.35">
      <c r="B16" s="4"/>
    </row>
    <row r="17" spans="2:2" x14ac:dyDescent="0.35">
      <c r="B17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Pivort Tables</vt:lpstr>
      <vt:lpstr>Survey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2026-04-13T00:22:48Z</dcterms:created>
  <dcterms:modified xsi:type="dcterms:W3CDTF">2026-04-14T09:46:45Z</dcterms:modified>
</cp:coreProperties>
</file>